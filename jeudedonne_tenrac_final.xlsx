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25007413\Downloads\"/>
    </mc:Choice>
  </mc:AlternateContent>
  <xr:revisionPtr revIDLastSave="0" documentId="8_{7987952B-037F-4750-BFA5-DA32DDAEB0F5}" xr6:coauthVersionLast="47" xr6:coauthVersionMax="47" xr10:uidLastSave="{00000000-0000-0000-0000-000000000000}"/>
  <bookViews>
    <workbookView xWindow="-120" yWindow="-120" windowWidth="29040" windowHeight="15720" firstSheet="19" activeTab="31" xr2:uid="{2BE7C2A3-ECDD-4159-9BEB-8E69156A8490}"/>
  </bookViews>
  <sheets>
    <sheet name="Machine" sheetId="1" r:id="rId1"/>
    <sheet name="Appartient_a" sheetId="20" r:id="rId2"/>
    <sheet name="Modele" sheetId="2" r:id="rId3"/>
    <sheet name="Repas" sheetId="3" r:id="rId4"/>
    <sheet name="Titre" sheetId="4" r:id="rId5"/>
    <sheet name="Rang" sheetId="5" r:id="rId6"/>
    <sheet name="Dignité" sheetId="6" r:id="rId7"/>
    <sheet name="Certificat" sheetId="7" r:id="rId8"/>
    <sheet name="Compose_de" sheetId="21" r:id="rId9"/>
    <sheet name="Comporte" sheetId="23" r:id="rId10"/>
    <sheet name="Accompagne" sheetId="24" r:id="rId11"/>
    <sheet name="Contient" sheetId="25" r:id="rId12"/>
    <sheet name="Intolerance" sheetId="26" r:id="rId13"/>
    <sheet name="Repare" sheetId="27" r:id="rId14"/>
    <sheet name="Possede" sheetId="29" r:id="rId15"/>
    <sheet name="Conserve1" sheetId="30" r:id="rId16"/>
    <sheet name="Conserve2" sheetId="31" r:id="rId17"/>
    <sheet name="Utilise" sheetId="32" r:id="rId18"/>
    <sheet name="GradInf" sheetId="8" r:id="rId19"/>
    <sheet name="GradeSup" sheetId="9" r:id="rId20"/>
    <sheet name="Tenrac" sheetId="10" r:id="rId21"/>
    <sheet name="Ordre" sheetId="11" r:id="rId22"/>
    <sheet name="Réunion" sheetId="12" r:id="rId23"/>
    <sheet name="CarteDeMembre" sheetId="13" r:id="rId24"/>
    <sheet name="Organisme" sheetId="14" r:id="rId25"/>
    <sheet name="Club" sheetId="15" r:id="rId26"/>
    <sheet name="Plat" sheetId="16" r:id="rId27"/>
    <sheet name="Sauce" sheetId="17" r:id="rId28"/>
    <sheet name="Légume" sheetId="18" r:id="rId29"/>
    <sheet name="Ingredient" sheetId="19" r:id="rId30"/>
    <sheet name="Entretient" sheetId="22" r:id="rId31"/>
    <sheet name="DateDep" sheetId="28" r:id="rId3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6" l="1"/>
  <c r="E4" i="16"/>
  <c r="E3" i="16"/>
  <c r="E2" i="16"/>
</calcChain>
</file>

<file path=xl/sharedStrings.xml><?xml version="1.0" encoding="utf-8"?>
<sst xmlns="http://schemas.openxmlformats.org/spreadsheetml/2006/main" count="240" uniqueCount="166">
  <si>
    <t>IdMachine</t>
  </si>
  <si>
    <t>NomMachine</t>
  </si>
  <si>
    <t>#NomModele</t>
  </si>
  <si>
    <t>RaclettoPro 5000</t>
  </si>
  <si>
    <t>Lampe à raclette traditionnelle</t>
  </si>
  <si>
    <t>MegaCombi Supreme</t>
  </si>
  <si>
    <t>Combiné raclette-pierrade-fondue-crêpière-friteuse-salamandre</t>
  </si>
  <si>
    <t>Appareil à raclette bon marché</t>
  </si>
  <si>
    <t>Friteuse professionnelle</t>
  </si>
  <si>
    <t>NomModele</t>
  </si>
  <si>
    <t>IdRepas</t>
  </si>
  <si>
    <t>Intitulé</t>
  </si>
  <si>
    <t>#NumIngredient*</t>
  </si>
  <si>
    <t>Le Tenrac Classique</t>
  </si>
  <si>
    <t>Oui</t>
  </si>
  <si>
    <t>La Grande Bouffe Fromage</t>
  </si>
  <si>
    <t>Le Tenrac Exotique</t>
  </si>
  <si>
    <t>Non</t>
  </si>
  <si>
    <t>Menu Découverte du Chef</t>
  </si>
  <si>
    <t>NomTitre</t>
  </si>
  <si>
    <t>Philanthrope</t>
  </si>
  <si>
    <t>Protecteur</t>
  </si>
  <si>
    <t>Honorable</t>
  </si>
  <si>
    <t>NomRang</t>
  </si>
  <si>
    <t>Novice</t>
  </si>
  <si>
    <t>Compagnon</t>
  </si>
  <si>
    <t>NomDignite</t>
  </si>
  <si>
    <t>Grand Chancelier</t>
  </si>
  <si>
    <t>Grand Maître</t>
  </si>
  <si>
    <t>IdCertificat</t>
  </si>
  <si>
    <t>#CodePerso</t>
  </si>
  <si>
    <t>NomGradInf</t>
  </si>
  <si>
    <t>Affilié</t>
  </si>
  <si>
    <t>Sympathisant</t>
  </si>
  <si>
    <t>Adhérent</t>
  </si>
  <si>
    <t>NomGradeSup</t>
  </si>
  <si>
    <t>Chevalier / Dame</t>
  </si>
  <si>
    <t>Grand Chevalier / Haute Dame</t>
  </si>
  <si>
    <t>Commandeur</t>
  </si>
  <si>
    <t>Grand'Croix</t>
  </si>
  <si>
    <t>CodePerso</t>
  </si>
  <si>
    <t>NomTenrac</t>
  </si>
  <si>
    <t>Courriel</t>
  </si>
  <si>
    <t>Tel</t>
  </si>
  <si>
    <t>AdressePostale</t>
  </si>
  <si>
    <t>#IdOrdre</t>
  </si>
  <si>
    <t>#IdClub</t>
  </si>
  <si>
    <t>#IdOrdre_1</t>
  </si>
  <si>
    <t>#NomGradSup</t>
  </si>
  <si>
    <t>#SIRET*</t>
  </si>
  <si>
    <t>#NomGradInf</t>
  </si>
  <si>
    <t>#NomDignite*</t>
  </si>
  <si>
    <t>#NomTitre*</t>
  </si>
  <si>
    <t>#NomRang*</t>
  </si>
  <si>
    <t>Dupont Jean</t>
  </si>
  <si>
    <t>j.dupont@tenrac.fr</t>
  </si>
  <si>
    <t>0612345678</t>
  </si>
  <si>
    <t>12 Rue de la Raclette, 75001 Paris</t>
  </si>
  <si>
    <t>12345678901234</t>
  </si>
  <si>
    <t>Martin Sophie</t>
  </si>
  <si>
    <t>s.martin@tenrac.fr</t>
  </si>
  <si>
    <t>0623456789</t>
  </si>
  <si>
    <t>45 Avenue des Tenders, 69001 Lyon</t>
  </si>
  <si>
    <t>98765432109876</t>
  </si>
  <si>
    <t>Durand Pierre</t>
  </si>
  <si>
    <t>p.durand@tenrac.fr</t>
  </si>
  <si>
    <t>0634567890</t>
  </si>
  <si>
    <t>78 Boulevard Fromage, 13001 Marseille</t>
  </si>
  <si>
    <t>11223344556677</t>
  </si>
  <si>
    <t>Maitre</t>
  </si>
  <si>
    <t>Lefebvre Marie</t>
  </si>
  <si>
    <t>m.lefebvre@tenrac.fr</t>
  </si>
  <si>
    <t>0645678901</t>
  </si>
  <si>
    <t>23 Place Poulet, 33000 Bordeaux</t>
  </si>
  <si>
    <t>22334455667788</t>
  </si>
  <si>
    <t>IdOrdre</t>
  </si>
  <si>
    <t>NomOrdre</t>
  </si>
  <si>
    <t>Ordre Suprême des Tenracs de France</t>
  </si>
  <si>
    <t>Ordre des Grands Chevaliers du Fromage</t>
  </si>
  <si>
    <t>Ordre des Protecteurs de la Tradition</t>
  </si>
  <si>
    <t>Ordre des Maîtres Raclettiers</t>
  </si>
  <si>
    <t>IdRéunion</t>
  </si>
  <si>
    <t>DateRéunion</t>
  </si>
  <si>
    <t>AdresseReunion</t>
  </si>
  <si>
    <t>#IdRepas</t>
  </si>
  <si>
    <t>01/15/2024</t>
  </si>
  <si>
    <t>Restaurant Le Secret, 10 Rue Cachée, Paris</t>
  </si>
  <si>
    <t>Auberge Mystère, 25 Avenue Discrète, Lyon</t>
  </si>
  <si>
    <t>La Table Confidentielle, 42 Boulevard Privé, Marseille</t>
  </si>
  <si>
    <t>04/20/2024</t>
  </si>
  <si>
    <t>Chez Raclette, 33 Place Secrète, Bordeaux</t>
  </si>
  <si>
    <t>SIRET</t>
  </si>
  <si>
    <t>23456789012345</t>
  </si>
  <si>
    <t>34567890123456</t>
  </si>
  <si>
    <t>45678901234567</t>
  </si>
  <si>
    <t>RaisonSocial</t>
  </si>
  <si>
    <t>Istanbul Kebab</t>
  </si>
  <si>
    <t>Brozer city</t>
  </si>
  <si>
    <t>Bistro prime</t>
  </si>
  <si>
    <t>Turbo Tacos</t>
  </si>
  <si>
    <t>IdClub</t>
  </si>
  <si>
    <t>NomClub</t>
  </si>
  <si>
    <t>Club Tenrac Paris Nord</t>
  </si>
  <si>
    <t>Club Tenrac Lyon Prestige</t>
  </si>
  <si>
    <t>Club Tenrac Marseille Méditerranée</t>
  </si>
  <si>
    <t>Club Tenrac Bordeaux Atlantique</t>
  </si>
  <si>
    <t>IdPlat</t>
  </si>
  <si>
    <t>NomPlat</t>
  </si>
  <si>
    <t>Occaspé</t>
  </si>
  <si>
    <t>Tenders de poulet frits à la raclette</t>
  </si>
  <si>
    <t>Tenders de poulet grillés à la raclette</t>
  </si>
  <si>
    <t>Kebab raclette fusion</t>
  </si>
  <si>
    <t>Raclette ananas Hawaii (controversé)</t>
  </si>
  <si>
    <t>NomS</t>
  </si>
  <si>
    <t>Sauce mayonnaise maison</t>
  </si>
  <si>
    <t>Sauce blanche crémeuse</t>
  </si>
  <si>
    <t>Sauce moutarde ancienne</t>
  </si>
  <si>
    <t>Sauce ketchup épicé</t>
  </si>
  <si>
    <t>Sauce curry-moutarde</t>
  </si>
  <si>
    <t>Sauce andalouse</t>
  </si>
  <si>
    <t>Sauce algérienne</t>
  </si>
  <si>
    <t>#NumIngredient</t>
  </si>
  <si>
    <t>NumIngredient</t>
  </si>
  <si>
    <t>nomIngredient</t>
  </si>
  <si>
    <t>Raclette (fromage)</t>
  </si>
  <si>
    <t>Tenders de poulet frits</t>
  </si>
  <si>
    <t>Tenders de poulet non frits</t>
  </si>
  <si>
    <t>Viande à kebab</t>
  </si>
  <si>
    <t>Idgroupe</t>
  </si>
  <si>
    <t>Allergie</t>
  </si>
  <si>
    <t>Croyance</t>
  </si>
  <si>
    <t>ConvictionPerso</t>
  </si>
  <si>
    <t>Gluten</t>
  </si>
  <si>
    <t>Lait</t>
  </si>
  <si>
    <t>Arachides</t>
  </si>
  <si>
    <t>Crustacés</t>
  </si>
  <si>
    <t>PasdeSalade</t>
  </si>
  <si>
    <t>PimentDangereux</t>
  </si>
  <si>
    <t>PasdePainComplet</t>
  </si>
  <si>
    <t>AlcoolPasCool</t>
  </si>
  <si>
    <t>AimePasLait</t>
  </si>
  <si>
    <t>AimePasCrustacés</t>
  </si>
  <si>
    <t>AimePasLePouletMariné</t>
  </si>
  <si>
    <t>AimePasLesFrites</t>
  </si>
  <si>
    <t>TypeEntretient</t>
  </si>
  <si>
    <t>DateDep</t>
  </si>
  <si>
    <t>DateFin</t>
  </si>
  <si>
    <t>Lingettes</t>
  </si>
  <si>
    <t>Gel Hydroalcoolique</t>
  </si>
  <si>
    <t>Eau</t>
  </si>
  <si>
    <t>Serpillere</t>
  </si>
  <si>
    <t>#IdPlat</t>
  </si>
  <si>
    <t>#NomS</t>
  </si>
  <si>
    <t>#IdMachine</t>
  </si>
  <si>
    <t>#TypeEntretient</t>
  </si>
  <si>
    <t>#DateDep</t>
  </si>
  <si>
    <t>#IdCertificat</t>
  </si>
  <si>
    <t>MachinePoulet</t>
  </si>
  <si>
    <t>MachineHuile</t>
  </si>
  <si>
    <t>MachineTenders</t>
  </si>
  <si>
    <t>MachineKebab</t>
  </si>
  <si>
    <t>OccaSpé</t>
  </si>
  <si>
    <t>Mariage</t>
  </si>
  <si>
    <t>RituelOcculte</t>
  </si>
  <si>
    <t>KebabAtement</t>
  </si>
  <si>
    <t>DivorceTenrac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</si>
</sst>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15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sz val="12"/>
      <color rgb="FF000000"/>
      <name val="Calibri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b/>
      <sz val="18"/>
      <color rgb="FF000000"/>
      <name val="Liberation Sans"/>
      <family val="2"/>
    </font>
    <font>
      <b/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20">
    <cellStyle name="Accent" xfId="2" xr:uid="{48FEE942-73FB-48FF-8D72-7891C0B33693}"/>
    <cellStyle name="Accent 1" xfId="3" xr:uid="{3C47D6C5-4C5C-4A45-AD0E-3ECA52BB78C1}"/>
    <cellStyle name="Accent 2" xfId="4" xr:uid="{204FA75C-563A-4C67-88F7-BD3A1EACC3CE}"/>
    <cellStyle name="Accent 3" xfId="5" xr:uid="{9233C694-A49F-4365-A44A-88860D021455}"/>
    <cellStyle name="Bad" xfId="6" xr:uid="{F9B87E65-A98D-44EE-85A5-D363D46D638F}"/>
    <cellStyle name="Default" xfId="7" xr:uid="{7281EF2A-4D6D-4D2B-A5F4-642AC344592F}"/>
    <cellStyle name="Error" xfId="8" xr:uid="{F614A01C-472B-4EC5-9143-EC37AE566C2C}"/>
    <cellStyle name="Footnote" xfId="9" xr:uid="{D1E0E049-3040-4E07-B6A1-2F3261420606}"/>
    <cellStyle name="Good" xfId="10" xr:uid="{4CC45342-6C8E-4400-9AAE-22DE79AB5B5D}"/>
    <cellStyle name="Heading" xfId="11" xr:uid="{22FCD4D0-B94E-44E4-99C9-B9DFD0ECD0E0}"/>
    <cellStyle name="Heading 1" xfId="12" xr:uid="{DDE1B9BA-D73B-494A-B294-39DEDC9077CB}"/>
    <cellStyle name="Heading 2" xfId="13" xr:uid="{1BB4FAF5-E8BD-4471-8051-7B3E97E6EC8F}"/>
    <cellStyle name="Hyperlink" xfId="14" xr:uid="{2BAD6449-6318-4814-B249-592331A7D5BB}"/>
    <cellStyle name="Neutral" xfId="15" xr:uid="{F11F348C-7A91-4977-9D9D-E02AC216C440}"/>
    <cellStyle name="Normal" xfId="0" builtinId="0" customBuiltin="1"/>
    <cellStyle name="Note" xfId="1" builtinId="10" customBuiltin="1"/>
    <cellStyle name="Result" xfId="16" xr:uid="{EF862240-7725-4D71-B1C8-7B00E61D7B74}"/>
    <cellStyle name="Status" xfId="17" xr:uid="{2C17BBDB-B286-4885-8642-39C388463DEA}"/>
    <cellStyle name="Text" xfId="18" xr:uid="{F529EED0-4F34-448E-9C33-FE51A6371475}"/>
    <cellStyle name="Warning" xfId="19" xr:uid="{041F7958-4A01-4818-9FEE-D31393331C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705D-BCE0-4934-85CB-E9C6A665CA0A}">
  <dimension ref="A1:C8"/>
  <sheetViews>
    <sheetView topLeftCell="A4" workbookViewId="0">
      <selection activeCell="F9" sqref="F9"/>
    </sheetView>
  </sheetViews>
  <sheetFormatPr baseColWidth="10" defaultColWidth="12.28515625" defaultRowHeight="15.75" x14ac:dyDescent="0.2"/>
  <cols>
    <col min="1" max="1" width="12.28515625" customWidth="1"/>
    <col min="2" max="2" width="22.140625" customWidth="1"/>
    <col min="3" max="3" width="12.28515625" customWidth="1"/>
    <col min="4" max="16384" width="12.28515625"/>
  </cols>
  <sheetData>
    <row r="1" spans="1:3" ht="12.75" x14ac:dyDescent="0.2">
      <c r="A1" t="s">
        <v>0</v>
      </c>
      <c r="B1" t="s">
        <v>1</v>
      </c>
      <c r="C1" t="s">
        <v>2</v>
      </c>
    </row>
    <row r="2" spans="1:3" ht="12.75" x14ac:dyDescent="0.2">
      <c r="A2">
        <v>1</v>
      </c>
      <c r="B2" t="s">
        <v>3</v>
      </c>
      <c r="C2" t="s">
        <v>4</v>
      </c>
    </row>
    <row r="3" spans="1:3" ht="12.75" x14ac:dyDescent="0.2">
      <c r="A3">
        <v>2</v>
      </c>
      <c r="B3" t="s">
        <v>5</v>
      </c>
      <c r="C3" t="s">
        <v>6</v>
      </c>
    </row>
    <row r="4" spans="1:3" ht="12.75" x14ac:dyDescent="0.2">
      <c r="A4" t="s">
        <v>0</v>
      </c>
      <c r="B4" t="s">
        <v>1</v>
      </c>
      <c r="C4" t="s">
        <v>9</v>
      </c>
    </row>
    <row r="5" spans="1:3" ht="12.75" x14ac:dyDescent="0.2">
      <c r="A5">
        <v>1</v>
      </c>
      <c r="B5" t="s">
        <v>157</v>
      </c>
      <c r="C5" t="s">
        <v>4</v>
      </c>
    </row>
    <row r="6" spans="1:3" ht="12.75" x14ac:dyDescent="0.2">
      <c r="A6">
        <v>2</v>
      </c>
      <c r="B6" t="s">
        <v>158</v>
      </c>
      <c r="C6" t="s">
        <v>6</v>
      </c>
    </row>
    <row r="7" spans="1:3" ht="12.75" x14ac:dyDescent="0.2">
      <c r="A7">
        <v>3</v>
      </c>
      <c r="B7" t="s">
        <v>159</v>
      </c>
      <c r="C7" t="s">
        <v>7</v>
      </c>
    </row>
    <row r="8" spans="1:3" ht="12.75" x14ac:dyDescent="0.2">
      <c r="A8">
        <v>4</v>
      </c>
      <c r="B8" t="s">
        <v>160</v>
      </c>
      <c r="C8" t="s">
        <v>8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5858-4131-4AE6-9243-28E43C50050A}">
  <dimension ref="A1:B5"/>
  <sheetViews>
    <sheetView workbookViewId="0">
      <selection activeCell="B6" sqref="B6"/>
    </sheetView>
  </sheetViews>
  <sheetFormatPr baseColWidth="10" defaultRowHeight="12.75" x14ac:dyDescent="0.2"/>
  <sheetData>
    <row r="1" spans="1:2" x14ac:dyDescent="0.2">
      <c r="A1" t="s">
        <v>40</v>
      </c>
      <c r="B1" t="s">
        <v>128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3</v>
      </c>
    </row>
    <row r="5" spans="1:2" x14ac:dyDescent="0.2">
      <c r="A5">
        <v>4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16CD-5C0F-4742-B1A0-CBC7EBF23A87}">
  <dimension ref="A1:A6"/>
  <sheetViews>
    <sheetView workbookViewId="0">
      <selection sqref="A1:A5"/>
    </sheetView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1" ht="12.75" x14ac:dyDescent="0.2">
      <c r="A1" t="s">
        <v>9</v>
      </c>
    </row>
    <row r="2" spans="1:1" ht="12.75" x14ac:dyDescent="0.2">
      <c r="A2" t="s">
        <v>4</v>
      </c>
    </row>
    <row r="3" spans="1:1" ht="12.75" x14ac:dyDescent="0.2">
      <c r="A3" t="s">
        <v>6</v>
      </c>
    </row>
    <row r="4" spans="1:1" ht="12.75" x14ac:dyDescent="0.2">
      <c r="A4" t="s">
        <v>7</v>
      </c>
    </row>
    <row r="5" spans="1:1" ht="12.75" x14ac:dyDescent="0.2">
      <c r="A5" t="s">
        <v>8</v>
      </c>
    </row>
    <row r="6" spans="1:1" ht="12.75" x14ac:dyDescent="0.2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2FB8-A349-40E0-BA3D-51A3974889EE}">
  <dimension ref="A1:C15"/>
  <sheetViews>
    <sheetView workbookViewId="0">
      <selection activeCell="C4" sqref="C4"/>
    </sheetView>
  </sheetViews>
  <sheetFormatPr baseColWidth="10" defaultColWidth="12.28515625" defaultRowHeight="15.75" x14ac:dyDescent="0.2"/>
  <cols>
    <col min="1" max="1" width="31.42578125" customWidth="1"/>
    <col min="2" max="2" width="12.28515625" customWidth="1"/>
    <col min="3" max="16384" width="12.28515625"/>
  </cols>
  <sheetData>
    <row r="1" spans="1:3" ht="12.75" x14ac:dyDescent="0.2">
      <c r="A1" t="s">
        <v>10</v>
      </c>
      <c r="B1" t="s">
        <v>11</v>
      </c>
      <c r="C1" t="s">
        <v>12</v>
      </c>
    </row>
    <row r="2" spans="1:3" ht="12.75" x14ac:dyDescent="0.2">
      <c r="A2" t="s">
        <v>13</v>
      </c>
      <c r="B2" t="s">
        <v>14</v>
      </c>
      <c r="C2">
        <v>1</v>
      </c>
    </row>
    <row r="3" spans="1:3" ht="12.75" x14ac:dyDescent="0.2">
      <c r="A3" t="s">
        <v>15</v>
      </c>
      <c r="B3" t="s">
        <v>14</v>
      </c>
      <c r="C3">
        <v>2</v>
      </c>
    </row>
    <row r="4" spans="1:3" ht="12.75" x14ac:dyDescent="0.2">
      <c r="A4" t="s">
        <v>16</v>
      </c>
      <c r="B4" t="s">
        <v>17</v>
      </c>
      <c r="C4">
        <v>3</v>
      </c>
    </row>
    <row r="5" spans="1:3" ht="12.75" x14ac:dyDescent="0.2">
      <c r="A5" t="s">
        <v>18</v>
      </c>
      <c r="B5" t="s">
        <v>14</v>
      </c>
      <c r="C5">
        <v>4</v>
      </c>
    </row>
    <row r="6" spans="1:3" ht="12.75" x14ac:dyDescent="0.2"/>
    <row r="7" spans="1:3" ht="12.75" x14ac:dyDescent="0.2"/>
    <row r="8" spans="1:3" ht="12.75" x14ac:dyDescent="0.2"/>
    <row r="9" spans="1:3" ht="12.75" x14ac:dyDescent="0.2"/>
    <row r="10" spans="1:3" ht="12.75" x14ac:dyDescent="0.2"/>
    <row r="11" spans="1:3" ht="12.75" x14ac:dyDescent="0.2"/>
    <row r="12" spans="1:3" ht="12.75" x14ac:dyDescent="0.2"/>
    <row r="13" spans="1:3" ht="12.75" x14ac:dyDescent="0.2"/>
    <row r="14" spans="1:3" ht="12.75" x14ac:dyDescent="0.2"/>
    <row r="15" spans="1:3" ht="12.75" x14ac:dyDescent="0.2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D625-96EE-4D89-AD0A-6E537BA24D92}">
  <dimension ref="A1:A4"/>
  <sheetViews>
    <sheetView workbookViewId="0"/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1" ht="12.75" x14ac:dyDescent="0.2">
      <c r="A1" t="s">
        <v>19</v>
      </c>
    </row>
    <row r="2" spans="1:1" ht="12.75" x14ac:dyDescent="0.2">
      <c r="A2" t="s">
        <v>20</v>
      </c>
    </row>
    <row r="3" spans="1:1" ht="12.75" x14ac:dyDescent="0.2">
      <c r="A3" t="s">
        <v>21</v>
      </c>
    </row>
    <row r="4" spans="1:1" ht="12.75" x14ac:dyDescent="0.2">
      <c r="A4" t="s">
        <v>22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C3B6-E7FA-4332-A69B-AE898BCB914C}">
  <dimension ref="A1:A3"/>
  <sheetViews>
    <sheetView workbookViewId="0"/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1" ht="12.75" x14ac:dyDescent="0.2">
      <c r="A1" t="s">
        <v>23</v>
      </c>
    </row>
    <row r="2" spans="1:1" ht="12.75" x14ac:dyDescent="0.2">
      <c r="A2" t="s">
        <v>24</v>
      </c>
    </row>
    <row r="3" spans="1:1" ht="12.75" x14ac:dyDescent="0.2">
      <c r="A3" t="s">
        <v>25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6DDD-DCB4-4309-B448-F40C18309DF6}">
  <dimension ref="A1:A3"/>
  <sheetViews>
    <sheetView workbookViewId="0"/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1" ht="12.75" x14ac:dyDescent="0.2">
      <c r="A1" t="s">
        <v>26</v>
      </c>
    </row>
    <row r="2" spans="1:1" ht="12.75" x14ac:dyDescent="0.2">
      <c r="A2" t="s">
        <v>27</v>
      </c>
    </row>
    <row r="3" spans="1:1" ht="12.75" x14ac:dyDescent="0.2">
      <c r="A3" t="s">
        <v>28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36A8-09A7-41AE-B222-1730A1263166}">
  <dimension ref="A1:B11"/>
  <sheetViews>
    <sheetView workbookViewId="0"/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2" ht="12.75" x14ac:dyDescent="0.2">
      <c r="A1" t="s">
        <v>29</v>
      </c>
      <c r="B1" t="s">
        <v>30</v>
      </c>
    </row>
    <row r="2" spans="1:2" ht="12.75" x14ac:dyDescent="0.2">
      <c r="A2">
        <v>1</v>
      </c>
      <c r="B2">
        <v>1</v>
      </c>
    </row>
    <row r="3" spans="1:2" ht="12.75" x14ac:dyDescent="0.2">
      <c r="A3">
        <v>2</v>
      </c>
      <c r="B3">
        <v>2</v>
      </c>
    </row>
    <row r="4" spans="1:2" ht="12.75" x14ac:dyDescent="0.2">
      <c r="A4">
        <v>3</v>
      </c>
      <c r="B4">
        <v>3</v>
      </c>
    </row>
    <row r="5" spans="1:2" ht="12.75" x14ac:dyDescent="0.2">
      <c r="A5">
        <v>4</v>
      </c>
      <c r="B5">
        <v>4</v>
      </c>
    </row>
    <row r="6" spans="1:2" ht="12.75" x14ac:dyDescent="0.2"/>
    <row r="7" spans="1:2" ht="12.75" x14ac:dyDescent="0.2"/>
    <row r="8" spans="1:2" ht="12.75" x14ac:dyDescent="0.2"/>
    <row r="9" spans="1:2" ht="12.75" x14ac:dyDescent="0.2"/>
    <row r="10" spans="1:2" ht="12.75" x14ac:dyDescent="0.2"/>
    <row r="11" spans="1:2" ht="12.75" x14ac:dyDescent="0.2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D2E4-47D7-4A75-9C65-623A4238C2D4}">
  <dimension ref="A1:B5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84</v>
      </c>
      <c r="B1" t="s">
        <v>151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3</v>
      </c>
    </row>
    <row r="5" spans="1:2" x14ac:dyDescent="0.2">
      <c r="A5">
        <v>4</v>
      </c>
      <c r="B5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A6E1-F659-49C1-A45E-62F44DAF1A03}">
  <dimension ref="A1:B5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151</v>
      </c>
      <c r="B1" t="s">
        <v>121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3</v>
      </c>
    </row>
    <row r="5" spans="1:2" x14ac:dyDescent="0.2">
      <c r="A5">
        <v>4</v>
      </c>
      <c r="B5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8F74-60F0-4839-ACC2-8FB63531CBD3}">
  <dimension ref="A1:B8"/>
  <sheetViews>
    <sheetView workbookViewId="0">
      <selection activeCell="M44" sqref="M44"/>
    </sheetView>
  </sheetViews>
  <sheetFormatPr baseColWidth="10" defaultRowHeight="12.75" x14ac:dyDescent="0.2"/>
  <sheetData>
    <row r="1" spans="1:2" x14ac:dyDescent="0.2">
      <c r="A1" t="s">
        <v>151</v>
      </c>
      <c r="B1" t="s">
        <v>152</v>
      </c>
    </row>
    <row r="2" spans="1:2" x14ac:dyDescent="0.2">
      <c r="A2">
        <v>1</v>
      </c>
      <c r="B2" t="s">
        <v>114</v>
      </c>
    </row>
    <row r="3" spans="1:2" x14ac:dyDescent="0.2">
      <c r="A3">
        <v>2</v>
      </c>
      <c r="B3" t="s">
        <v>115</v>
      </c>
    </row>
    <row r="4" spans="1:2" x14ac:dyDescent="0.2">
      <c r="A4">
        <v>3</v>
      </c>
      <c r="B4" t="s">
        <v>116</v>
      </c>
    </row>
    <row r="5" spans="1:2" x14ac:dyDescent="0.2">
      <c r="A5">
        <v>4</v>
      </c>
      <c r="B5" t="s">
        <v>117</v>
      </c>
    </row>
    <row r="6" spans="1:2" x14ac:dyDescent="0.2">
      <c r="B6" t="s">
        <v>118</v>
      </c>
    </row>
    <row r="7" spans="1:2" x14ac:dyDescent="0.2">
      <c r="B7" t="s">
        <v>119</v>
      </c>
    </row>
    <row r="8" spans="1:2" x14ac:dyDescent="0.2">
      <c r="B8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CE18-8D37-4B08-ABF5-B5EC9E952172}">
  <dimension ref="A1:B8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121</v>
      </c>
      <c r="B1" t="s">
        <v>152</v>
      </c>
    </row>
    <row r="2" spans="1:2" x14ac:dyDescent="0.2">
      <c r="A2">
        <v>1</v>
      </c>
      <c r="B2" t="s">
        <v>114</v>
      </c>
    </row>
    <row r="3" spans="1:2" x14ac:dyDescent="0.2">
      <c r="A3">
        <v>2</v>
      </c>
      <c r="B3" t="s">
        <v>115</v>
      </c>
    </row>
    <row r="4" spans="1:2" x14ac:dyDescent="0.2">
      <c r="A4">
        <v>3</v>
      </c>
      <c r="B4" t="s">
        <v>116</v>
      </c>
    </row>
    <row r="5" spans="1:2" x14ac:dyDescent="0.2">
      <c r="A5">
        <v>4</v>
      </c>
      <c r="B5" t="s">
        <v>117</v>
      </c>
    </row>
    <row r="6" spans="1:2" x14ac:dyDescent="0.2">
      <c r="B6" t="s">
        <v>118</v>
      </c>
    </row>
    <row r="7" spans="1:2" x14ac:dyDescent="0.2">
      <c r="B7" t="s">
        <v>119</v>
      </c>
    </row>
    <row r="8" spans="1:2" x14ac:dyDescent="0.2">
      <c r="B8" t="s">
        <v>120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DC64-7CCE-44DB-B028-96B13ECBAADD}">
  <dimension ref="A1:G5"/>
  <sheetViews>
    <sheetView workbookViewId="0">
      <selection activeCell="B2" sqref="B2"/>
    </sheetView>
  </sheetViews>
  <sheetFormatPr baseColWidth="10" defaultRowHeight="12.75" x14ac:dyDescent="0.2"/>
  <sheetData>
    <row r="1" spans="1:7" x14ac:dyDescent="0.2">
      <c r="A1" t="s">
        <v>30</v>
      </c>
      <c r="B1" t="s">
        <v>121</v>
      </c>
      <c r="D1" t="s">
        <v>129</v>
      </c>
      <c r="E1" t="s">
        <v>130</v>
      </c>
      <c r="G1" t="s">
        <v>131</v>
      </c>
    </row>
    <row r="2" spans="1:7" x14ac:dyDescent="0.2">
      <c r="A2">
        <v>1</v>
      </c>
      <c r="B2">
        <v>1</v>
      </c>
      <c r="D2" t="s">
        <v>132</v>
      </c>
      <c r="E2" t="s">
        <v>136</v>
      </c>
      <c r="G2" t="s">
        <v>140</v>
      </c>
    </row>
    <row r="3" spans="1:7" x14ac:dyDescent="0.2">
      <c r="A3">
        <v>2</v>
      </c>
      <c r="B3">
        <v>2</v>
      </c>
      <c r="D3" t="s">
        <v>133</v>
      </c>
      <c r="E3" t="s">
        <v>137</v>
      </c>
      <c r="G3" t="s">
        <v>141</v>
      </c>
    </row>
    <row r="4" spans="1:7" x14ac:dyDescent="0.2">
      <c r="A4">
        <v>3</v>
      </c>
      <c r="B4">
        <v>3</v>
      </c>
      <c r="D4" t="s">
        <v>134</v>
      </c>
      <c r="E4" t="s">
        <v>138</v>
      </c>
      <c r="G4" t="s">
        <v>142</v>
      </c>
    </row>
    <row r="5" spans="1:7" x14ac:dyDescent="0.2">
      <c r="A5">
        <v>4</v>
      </c>
      <c r="B5">
        <v>4</v>
      </c>
      <c r="D5" t="s">
        <v>135</v>
      </c>
      <c r="E5" t="s">
        <v>139</v>
      </c>
      <c r="G5" t="s">
        <v>143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91C2-C7A7-4D67-BC89-56B14662D79F}">
  <dimension ref="A1:F5"/>
  <sheetViews>
    <sheetView workbookViewId="0">
      <selection activeCell="D2" sqref="D2"/>
    </sheetView>
  </sheetViews>
  <sheetFormatPr baseColWidth="10" defaultRowHeight="12.75" x14ac:dyDescent="0.2"/>
  <sheetData>
    <row r="1" spans="1:6" x14ac:dyDescent="0.2">
      <c r="A1" t="s">
        <v>153</v>
      </c>
      <c r="B1" t="s">
        <v>154</v>
      </c>
      <c r="D1" t="s">
        <v>155</v>
      </c>
      <c r="F1" t="s">
        <v>146</v>
      </c>
    </row>
    <row r="2" spans="1:6" x14ac:dyDescent="0.2">
      <c r="A2">
        <v>1</v>
      </c>
      <c r="B2" t="s">
        <v>147</v>
      </c>
      <c r="D2" s="2">
        <v>45323</v>
      </c>
      <c r="F2" s="2">
        <v>45324</v>
      </c>
    </row>
    <row r="3" spans="1:6" x14ac:dyDescent="0.2">
      <c r="A3">
        <v>2</v>
      </c>
      <c r="B3" t="s">
        <v>148</v>
      </c>
      <c r="D3" s="2">
        <v>45447</v>
      </c>
      <c r="F3" s="2">
        <v>45448</v>
      </c>
    </row>
    <row r="4" spans="1:6" x14ac:dyDescent="0.2">
      <c r="A4">
        <v>3</v>
      </c>
      <c r="B4" t="s">
        <v>149</v>
      </c>
      <c r="D4" s="3">
        <v>45449</v>
      </c>
      <c r="F4" s="2">
        <v>45450</v>
      </c>
    </row>
    <row r="5" spans="1:6" x14ac:dyDescent="0.2">
      <c r="A5">
        <v>4</v>
      </c>
      <c r="B5" t="s">
        <v>150</v>
      </c>
      <c r="D5" s="2">
        <v>45481</v>
      </c>
      <c r="F5" s="2">
        <v>45482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B849-AEC2-4359-84D5-58F3C6B797A2}">
  <dimension ref="A1:A5"/>
  <sheetViews>
    <sheetView workbookViewId="0">
      <selection activeCell="A6" sqref="A6"/>
    </sheetView>
  </sheetViews>
  <sheetFormatPr baseColWidth="10" defaultRowHeight="12.75" x14ac:dyDescent="0.2"/>
  <sheetData>
    <row r="1" spans="1:1" x14ac:dyDescent="0.2">
      <c r="A1" t="s">
        <v>153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9BBA-3F2C-4CF8-AF78-3F296A8824F8}">
  <dimension ref="A1:B5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45</v>
      </c>
      <c r="B1" t="s">
        <v>156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3</v>
      </c>
    </row>
    <row r="5" spans="1:2" x14ac:dyDescent="0.2">
      <c r="A5">
        <v>4</v>
      </c>
      <c r="B5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F544-3DC0-4E2F-83B7-22556277A640}">
  <dimension ref="A1:B5"/>
  <sheetViews>
    <sheetView workbookViewId="0">
      <selection activeCell="B6" sqref="B6"/>
    </sheetView>
  </sheetViews>
  <sheetFormatPr baseColWidth="10" defaultRowHeight="12.75" x14ac:dyDescent="0.2"/>
  <sheetData>
    <row r="1" spans="1:2" x14ac:dyDescent="0.2">
      <c r="A1" t="s">
        <v>45</v>
      </c>
      <c r="B1" t="s">
        <v>46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3</v>
      </c>
    </row>
    <row r="5" spans="1:2" x14ac:dyDescent="0.2">
      <c r="A5">
        <v>4</v>
      </c>
      <c r="B5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E1CF-C70A-422A-95A7-CDE2DD3276A5}">
  <dimension ref="A1:B5"/>
  <sheetViews>
    <sheetView workbookViewId="0">
      <selection activeCell="B6" sqref="B6"/>
    </sheetView>
  </sheetViews>
  <sheetFormatPr baseColWidth="10" defaultRowHeight="12.75" x14ac:dyDescent="0.2"/>
  <sheetData>
    <row r="1" spans="1:2" x14ac:dyDescent="0.2">
      <c r="A1" t="s">
        <v>84</v>
      </c>
      <c r="B1" t="s">
        <v>153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3</v>
      </c>
    </row>
    <row r="5" spans="1:2" x14ac:dyDescent="0.2">
      <c r="A5">
        <v>4</v>
      </c>
      <c r="B5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65FA-FEAB-406A-84B4-B7F5F119C5E9}">
  <dimension ref="A1:A4"/>
  <sheetViews>
    <sheetView workbookViewId="0"/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1" ht="12.75" x14ac:dyDescent="0.2">
      <c r="A1" t="s">
        <v>31</v>
      </c>
    </row>
    <row r="2" spans="1:1" ht="12.75" x14ac:dyDescent="0.2">
      <c r="A2" t="s">
        <v>32</v>
      </c>
    </row>
    <row r="3" spans="1:1" ht="12.75" x14ac:dyDescent="0.2">
      <c r="A3" t="s">
        <v>33</v>
      </c>
    </row>
    <row r="4" spans="1:1" ht="12.75" x14ac:dyDescent="0.2">
      <c r="A4" t="s">
        <v>34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A75E-7D41-4A34-BFE4-E4D2CD10B5FF}">
  <dimension ref="A1:A5"/>
  <sheetViews>
    <sheetView workbookViewId="0"/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1" ht="12.75" x14ac:dyDescent="0.2">
      <c r="A1" t="s">
        <v>35</v>
      </c>
    </row>
    <row r="2" spans="1:1" ht="12.75" x14ac:dyDescent="0.2">
      <c r="A2" t="s">
        <v>36</v>
      </c>
    </row>
    <row r="3" spans="1:1" ht="12.75" x14ac:dyDescent="0.2">
      <c r="A3" t="s">
        <v>37</v>
      </c>
    </row>
    <row r="4" spans="1:1" ht="12.75" x14ac:dyDescent="0.2">
      <c r="A4" t="s">
        <v>38</v>
      </c>
    </row>
    <row r="5" spans="1:1" ht="12.75" x14ac:dyDescent="0.2">
      <c r="A5" t="s">
        <v>39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6C399-13BF-4C5C-9E84-0BABF0E282D2}">
  <dimension ref="A1:S9"/>
  <sheetViews>
    <sheetView workbookViewId="0"/>
  </sheetViews>
  <sheetFormatPr baseColWidth="10" defaultColWidth="12.28515625" defaultRowHeight="15.75" x14ac:dyDescent="0.2"/>
  <cols>
    <col min="1" max="1" width="12.28515625" customWidth="1"/>
    <col min="2" max="2" width="18.85546875" customWidth="1"/>
    <col min="3" max="3" width="25" customWidth="1"/>
    <col min="4" max="4" width="12.28515625" customWidth="1"/>
    <col min="5" max="16384" width="12.28515625"/>
  </cols>
  <sheetData>
    <row r="1" spans="1:19" ht="12.75" x14ac:dyDescent="0.2">
      <c r="A1" t="s">
        <v>40</v>
      </c>
      <c r="B1" t="s">
        <v>41</v>
      </c>
      <c r="C1" t="s">
        <v>42</v>
      </c>
      <c r="D1" t="s">
        <v>43</v>
      </c>
      <c r="E1" t="s">
        <v>44</v>
      </c>
      <c r="H1" t="s">
        <v>45</v>
      </c>
      <c r="I1" t="s">
        <v>46</v>
      </c>
      <c r="J1" t="s">
        <v>47</v>
      </c>
      <c r="K1" t="s">
        <v>48</v>
      </c>
      <c r="N1" t="s">
        <v>49</v>
      </c>
      <c r="O1" t="s">
        <v>50</v>
      </c>
      <c r="P1" t="s">
        <v>51</v>
      </c>
      <c r="R1" t="s">
        <v>52</v>
      </c>
      <c r="S1" t="s">
        <v>53</v>
      </c>
    </row>
    <row r="2" spans="1:19" ht="12.75" x14ac:dyDescent="0.2">
      <c r="A2">
        <v>1</v>
      </c>
      <c r="B2" t="s">
        <v>54</v>
      </c>
      <c r="C2" t="s">
        <v>55</v>
      </c>
      <c r="D2" t="s">
        <v>56</v>
      </c>
      <c r="E2" t="s">
        <v>57</v>
      </c>
      <c r="H2">
        <v>1</v>
      </c>
      <c r="I2">
        <v>1</v>
      </c>
      <c r="J2">
        <v>1</v>
      </c>
      <c r="K2" t="s">
        <v>36</v>
      </c>
      <c r="N2" t="s">
        <v>58</v>
      </c>
      <c r="O2" t="s">
        <v>32</v>
      </c>
      <c r="P2" t="s">
        <v>27</v>
      </c>
      <c r="R2" t="s">
        <v>20</v>
      </c>
      <c r="S2" t="s">
        <v>24</v>
      </c>
    </row>
    <row r="3" spans="1:19" ht="12.75" x14ac:dyDescent="0.2">
      <c r="A3">
        <v>2</v>
      </c>
      <c r="B3" t="s">
        <v>59</v>
      </c>
      <c r="C3" t="s">
        <v>60</v>
      </c>
      <c r="D3" t="s">
        <v>61</v>
      </c>
      <c r="E3" t="s">
        <v>62</v>
      </c>
      <c r="H3">
        <v>2</v>
      </c>
      <c r="I3">
        <v>2</v>
      </c>
      <c r="J3">
        <v>2</v>
      </c>
      <c r="K3" t="s">
        <v>37</v>
      </c>
      <c r="N3" t="s">
        <v>63</v>
      </c>
      <c r="O3" t="s">
        <v>33</v>
      </c>
      <c r="P3" t="s">
        <v>28</v>
      </c>
      <c r="R3" t="s">
        <v>21</v>
      </c>
      <c r="S3" t="s">
        <v>25</v>
      </c>
    </row>
    <row r="4" spans="1:19" ht="12.75" x14ac:dyDescent="0.2">
      <c r="A4">
        <v>3</v>
      </c>
      <c r="B4" t="s">
        <v>64</v>
      </c>
      <c r="C4" t="s">
        <v>65</v>
      </c>
      <c r="D4" t="s">
        <v>66</v>
      </c>
      <c r="E4" t="s">
        <v>67</v>
      </c>
      <c r="H4">
        <v>3</v>
      </c>
      <c r="I4">
        <v>3</v>
      </c>
      <c r="J4">
        <v>3</v>
      </c>
      <c r="K4" t="s">
        <v>38</v>
      </c>
      <c r="N4" t="s">
        <v>68</v>
      </c>
      <c r="O4" t="s">
        <v>34</v>
      </c>
      <c r="P4" t="s">
        <v>69</v>
      </c>
      <c r="R4" t="s">
        <v>22</v>
      </c>
    </row>
    <row r="5" spans="1:19" ht="12.75" x14ac:dyDescent="0.2">
      <c r="A5">
        <v>4</v>
      </c>
      <c r="B5" t="s">
        <v>70</v>
      </c>
      <c r="C5" t="s">
        <v>71</v>
      </c>
      <c r="D5" t="s">
        <v>72</v>
      </c>
      <c r="E5" t="s">
        <v>73</v>
      </c>
      <c r="H5">
        <v>4</v>
      </c>
      <c r="I5">
        <v>4</v>
      </c>
      <c r="J5">
        <v>4</v>
      </c>
      <c r="K5" t="s">
        <v>39</v>
      </c>
      <c r="N5" t="s">
        <v>74</v>
      </c>
    </row>
    <row r="6" spans="1:19" ht="12.75" x14ac:dyDescent="0.2"/>
    <row r="7" spans="1:19" ht="12.75" x14ac:dyDescent="0.2"/>
    <row r="8" spans="1:19" ht="12.75" x14ac:dyDescent="0.2"/>
    <row r="9" spans="1:19" ht="12.75" x14ac:dyDescent="0.2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15E3-7D36-4ED5-98F5-3DD7CE549958}">
  <dimension ref="A1:B5"/>
  <sheetViews>
    <sheetView workbookViewId="0"/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2" ht="12.75" x14ac:dyDescent="0.2">
      <c r="A1" t="s">
        <v>75</v>
      </c>
      <c r="B1" t="s">
        <v>76</v>
      </c>
    </row>
    <row r="2" spans="1:2" ht="12.75" x14ac:dyDescent="0.2">
      <c r="A2">
        <v>1</v>
      </c>
      <c r="B2" t="s">
        <v>77</v>
      </c>
    </row>
    <row r="3" spans="1:2" ht="12.75" x14ac:dyDescent="0.2">
      <c r="A3">
        <v>2</v>
      </c>
      <c r="B3" t="s">
        <v>78</v>
      </c>
    </row>
    <row r="4" spans="1:2" ht="12.75" x14ac:dyDescent="0.2">
      <c r="A4">
        <v>3</v>
      </c>
      <c r="B4" t="s">
        <v>79</v>
      </c>
    </row>
    <row r="5" spans="1:2" ht="12.75" x14ac:dyDescent="0.2">
      <c r="A5">
        <v>4</v>
      </c>
      <c r="B5" t="s">
        <v>80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2B24-9777-4DE2-9EF7-C95A8D75F558}">
  <dimension ref="A1:I9"/>
  <sheetViews>
    <sheetView workbookViewId="0"/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9" ht="12.75" x14ac:dyDescent="0.2">
      <c r="A1" t="s">
        <v>81</v>
      </c>
      <c r="B1" t="s">
        <v>82</v>
      </c>
      <c r="C1" t="s">
        <v>83</v>
      </c>
      <c r="G1" t="s">
        <v>84</v>
      </c>
      <c r="H1" t="s">
        <v>30</v>
      </c>
      <c r="I1" t="s">
        <v>48</v>
      </c>
    </row>
    <row r="2" spans="1:9" ht="12.75" x14ac:dyDescent="0.2">
      <c r="A2">
        <v>1</v>
      </c>
      <c r="B2" t="s">
        <v>85</v>
      </c>
      <c r="C2" t="s">
        <v>86</v>
      </c>
      <c r="G2">
        <v>1</v>
      </c>
      <c r="H2">
        <v>1</v>
      </c>
      <c r="I2" t="s">
        <v>36</v>
      </c>
    </row>
    <row r="3" spans="1:9" ht="12.75" x14ac:dyDescent="0.2">
      <c r="A3">
        <v>2</v>
      </c>
      <c r="B3" s="1">
        <v>45567</v>
      </c>
      <c r="C3" t="s">
        <v>87</v>
      </c>
      <c r="G3">
        <v>2</v>
      </c>
      <c r="H3">
        <v>2</v>
      </c>
      <c r="I3" t="s">
        <v>37</v>
      </c>
    </row>
    <row r="4" spans="1:9" ht="12.75" x14ac:dyDescent="0.2">
      <c r="A4">
        <v>3</v>
      </c>
      <c r="B4" s="1">
        <v>45415</v>
      </c>
      <c r="C4" t="s">
        <v>88</v>
      </c>
      <c r="G4">
        <v>3</v>
      </c>
      <c r="H4">
        <v>3</v>
      </c>
      <c r="I4" t="s">
        <v>38</v>
      </c>
    </row>
    <row r="5" spans="1:9" ht="12.75" x14ac:dyDescent="0.2">
      <c r="A5">
        <v>4</v>
      </c>
      <c r="B5" t="s">
        <v>89</v>
      </c>
      <c r="C5" t="s">
        <v>90</v>
      </c>
      <c r="G5">
        <v>4</v>
      </c>
      <c r="H5">
        <v>4</v>
      </c>
      <c r="I5" t="s">
        <v>39</v>
      </c>
    </row>
    <row r="6" spans="1:9" ht="12.75" x14ac:dyDescent="0.2"/>
    <row r="7" spans="1:9" ht="12.75" x14ac:dyDescent="0.2"/>
    <row r="8" spans="1:9" ht="12.75" x14ac:dyDescent="0.2"/>
    <row r="9" spans="1:9" ht="12.75" x14ac:dyDescent="0.2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9577-5BA8-4517-9A53-82C69E5CA1FA}">
  <dimension ref="A1:E5"/>
  <sheetViews>
    <sheetView workbookViewId="0"/>
  </sheetViews>
  <sheetFormatPr baseColWidth="10" defaultColWidth="12.28515625" defaultRowHeight="15" x14ac:dyDescent="0.2"/>
  <cols>
    <col min="1" max="1" width="19.85546875" customWidth="1"/>
    <col min="2" max="2" width="12.28515625" customWidth="1"/>
    <col min="3" max="16384" width="12.28515625"/>
  </cols>
  <sheetData>
    <row r="1" spans="1:5" ht="12.75" x14ac:dyDescent="0.2">
      <c r="A1" t="s">
        <v>30</v>
      </c>
      <c r="B1" t="s">
        <v>91</v>
      </c>
      <c r="D1" t="s">
        <v>45</v>
      </c>
      <c r="E1" t="s">
        <v>46</v>
      </c>
    </row>
    <row r="2" spans="1:5" ht="12.75" x14ac:dyDescent="0.2">
      <c r="A2">
        <v>1</v>
      </c>
      <c r="B2" t="s">
        <v>58</v>
      </c>
      <c r="D2">
        <v>1</v>
      </c>
      <c r="E2">
        <v>1</v>
      </c>
    </row>
    <row r="3" spans="1:5" ht="12.75" x14ac:dyDescent="0.2">
      <c r="A3">
        <v>2</v>
      </c>
      <c r="B3" t="s">
        <v>92</v>
      </c>
      <c r="D3">
        <v>2</v>
      </c>
      <c r="E3">
        <v>2</v>
      </c>
    </row>
    <row r="4" spans="1:5" ht="12.75" x14ac:dyDescent="0.2">
      <c r="A4">
        <v>3</v>
      </c>
      <c r="B4" t="s">
        <v>93</v>
      </c>
      <c r="D4">
        <v>3</v>
      </c>
      <c r="E4">
        <v>3</v>
      </c>
    </row>
    <row r="5" spans="1:5" ht="12.75" x14ac:dyDescent="0.2">
      <c r="A5">
        <v>4</v>
      </c>
      <c r="B5" t="s">
        <v>94</v>
      </c>
      <c r="D5">
        <v>4</v>
      </c>
      <c r="E5">
        <v>4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75B7-6157-416F-B52C-D9517E8B3E7D}">
  <dimension ref="A1:C5"/>
  <sheetViews>
    <sheetView workbookViewId="0">
      <selection activeCell="D5" sqref="D5"/>
    </sheetView>
  </sheetViews>
  <sheetFormatPr baseColWidth="10" defaultColWidth="12.28515625" defaultRowHeight="15.75" x14ac:dyDescent="0.2"/>
  <cols>
    <col min="1" max="1" width="17.140625" customWidth="1"/>
    <col min="2" max="2" width="12.28515625" customWidth="1"/>
    <col min="3" max="16384" width="12.28515625"/>
  </cols>
  <sheetData>
    <row r="1" spans="1:3" ht="12.75" x14ac:dyDescent="0.2">
      <c r="A1" t="s">
        <v>91</v>
      </c>
      <c r="B1" t="s">
        <v>95</v>
      </c>
      <c r="C1" t="s">
        <v>161</v>
      </c>
    </row>
    <row r="2" spans="1:3" ht="12.75" x14ac:dyDescent="0.2">
      <c r="A2" t="s">
        <v>58</v>
      </c>
      <c r="B2" t="s">
        <v>96</v>
      </c>
      <c r="C2" t="s">
        <v>162</v>
      </c>
    </row>
    <row r="3" spans="1:3" ht="12.75" x14ac:dyDescent="0.2">
      <c r="A3" t="s">
        <v>63</v>
      </c>
      <c r="B3" t="s">
        <v>97</v>
      </c>
      <c r="C3" t="s">
        <v>163</v>
      </c>
    </row>
    <row r="4" spans="1:3" ht="12.75" x14ac:dyDescent="0.2">
      <c r="A4" t="s">
        <v>68</v>
      </c>
      <c r="B4" t="s">
        <v>98</v>
      </c>
      <c r="C4" t="s">
        <v>164</v>
      </c>
    </row>
    <row r="5" spans="1:3" ht="12.75" x14ac:dyDescent="0.2">
      <c r="A5" t="s">
        <v>74</v>
      </c>
      <c r="B5" t="s">
        <v>99</v>
      </c>
      <c r="C5" t="s">
        <v>165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7C21-596F-446D-A8A2-F2F2AED6C0C0}">
  <dimension ref="A1:C7"/>
  <sheetViews>
    <sheetView workbookViewId="0"/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3" ht="12.75" x14ac:dyDescent="0.2">
      <c r="A1" t="s">
        <v>45</v>
      </c>
      <c r="B1" t="s">
        <v>100</v>
      </c>
      <c r="C1" t="s">
        <v>101</v>
      </c>
    </row>
    <row r="2" spans="1:3" ht="12.75" x14ac:dyDescent="0.2">
      <c r="A2">
        <v>1</v>
      </c>
      <c r="B2">
        <v>1</v>
      </c>
      <c r="C2" t="s">
        <v>102</v>
      </c>
    </row>
    <row r="3" spans="1:3" ht="12.75" x14ac:dyDescent="0.2">
      <c r="A3">
        <v>2</v>
      </c>
      <c r="B3">
        <v>2</v>
      </c>
      <c r="C3" t="s">
        <v>103</v>
      </c>
    </row>
    <row r="4" spans="1:3" ht="12.75" x14ac:dyDescent="0.2">
      <c r="A4">
        <v>3</v>
      </c>
      <c r="B4">
        <v>3</v>
      </c>
      <c r="C4" t="s">
        <v>104</v>
      </c>
    </row>
    <row r="5" spans="1:3" ht="12.75" x14ac:dyDescent="0.2">
      <c r="A5">
        <v>4</v>
      </c>
      <c r="B5">
        <v>4</v>
      </c>
      <c r="C5" t="s">
        <v>105</v>
      </c>
    </row>
    <row r="6" spans="1:3" ht="12.75" x14ac:dyDescent="0.2"/>
    <row r="7" spans="1:3" ht="12.75" x14ac:dyDescent="0.2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9943-C672-43BB-9C53-8CD431FB5755}">
  <dimension ref="A1:E11"/>
  <sheetViews>
    <sheetView workbookViewId="0">
      <selection activeCell="C5" sqref="C5"/>
    </sheetView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5" ht="12.75" x14ac:dyDescent="0.2">
      <c r="A1" t="s">
        <v>106</v>
      </c>
      <c r="B1" t="s">
        <v>107</v>
      </c>
      <c r="E1" t="s">
        <v>108</v>
      </c>
    </row>
    <row r="2" spans="1:5" ht="12.75" x14ac:dyDescent="0.2">
      <c r="A2">
        <v>1</v>
      </c>
      <c r="B2" t="s">
        <v>109</v>
      </c>
      <c r="E2" t="b">
        <f>FALSE()</f>
        <v>0</v>
      </c>
    </row>
    <row r="3" spans="1:5" ht="12.75" x14ac:dyDescent="0.2">
      <c r="A3">
        <v>2</v>
      </c>
      <c r="B3" t="s">
        <v>110</v>
      </c>
      <c r="E3" t="b">
        <f>FALSE()</f>
        <v>0</v>
      </c>
    </row>
    <row r="4" spans="1:5" ht="12.75" x14ac:dyDescent="0.2">
      <c r="A4">
        <v>3</v>
      </c>
      <c r="B4" t="s">
        <v>111</v>
      </c>
      <c r="E4" t="b">
        <f>FALSE()</f>
        <v>0</v>
      </c>
    </row>
    <row r="5" spans="1:5" ht="12.75" x14ac:dyDescent="0.2">
      <c r="A5">
        <v>4</v>
      </c>
      <c r="B5" t="s">
        <v>112</v>
      </c>
      <c r="E5" t="b">
        <f>TRUE()</f>
        <v>1</v>
      </c>
    </row>
    <row r="6" spans="1:5" ht="12.75" x14ac:dyDescent="0.2"/>
    <row r="7" spans="1:5" ht="12.75" x14ac:dyDescent="0.2"/>
    <row r="8" spans="1:5" ht="12.75" x14ac:dyDescent="0.2"/>
    <row r="9" spans="1:5" ht="12.75" x14ac:dyDescent="0.2"/>
    <row r="10" spans="1:5" ht="12.75" x14ac:dyDescent="0.2"/>
    <row r="11" spans="1:5" ht="12.75" x14ac:dyDescent="0.2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9CBE-3AD8-4B7A-BA10-7B8766B8C3E3}">
  <dimension ref="A1:A8"/>
  <sheetViews>
    <sheetView workbookViewId="0">
      <selection sqref="A1:A8"/>
    </sheetView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1" ht="12.75" x14ac:dyDescent="0.2">
      <c r="A1" t="s">
        <v>113</v>
      </c>
    </row>
    <row r="2" spans="1:1" ht="12.75" x14ac:dyDescent="0.2">
      <c r="A2" t="s">
        <v>114</v>
      </c>
    </row>
    <row r="3" spans="1:1" ht="12.75" x14ac:dyDescent="0.2">
      <c r="A3" t="s">
        <v>115</v>
      </c>
    </row>
    <row r="4" spans="1:1" ht="12.75" x14ac:dyDescent="0.2">
      <c r="A4" t="s">
        <v>116</v>
      </c>
    </row>
    <row r="5" spans="1:1" ht="12.75" x14ac:dyDescent="0.2">
      <c r="A5" t="s">
        <v>117</v>
      </c>
    </row>
    <row r="6" spans="1:1" ht="12.75" x14ac:dyDescent="0.2">
      <c r="A6" t="s">
        <v>118</v>
      </c>
    </row>
    <row r="7" spans="1:1" ht="12.75" x14ac:dyDescent="0.2">
      <c r="A7" t="s">
        <v>119</v>
      </c>
    </row>
    <row r="8" spans="1:1" ht="12.75" x14ac:dyDescent="0.2">
      <c r="A8" t="s">
        <v>120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2475-AA21-4C33-B92D-56E4A26680B7}">
  <dimension ref="A1:A15"/>
  <sheetViews>
    <sheetView workbookViewId="0"/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1" ht="12.75" x14ac:dyDescent="0.2">
      <c r="A1" t="s">
        <v>121</v>
      </c>
    </row>
    <row r="2" spans="1:1" ht="12.75" x14ac:dyDescent="0.2">
      <c r="A2">
        <v>1</v>
      </c>
    </row>
    <row r="3" spans="1:1" ht="12.75" x14ac:dyDescent="0.2">
      <c r="A3">
        <v>2</v>
      </c>
    </row>
    <row r="4" spans="1:1" ht="12.75" x14ac:dyDescent="0.2">
      <c r="A4">
        <v>3</v>
      </c>
    </row>
    <row r="5" spans="1:1" ht="12.75" x14ac:dyDescent="0.2">
      <c r="A5">
        <v>4</v>
      </c>
    </row>
    <row r="6" spans="1:1" ht="12.75" x14ac:dyDescent="0.2"/>
    <row r="7" spans="1:1" ht="12.75" x14ac:dyDescent="0.2"/>
    <row r="8" spans="1:1" ht="12.75" x14ac:dyDescent="0.2"/>
    <row r="9" spans="1:1" ht="12.75" x14ac:dyDescent="0.2"/>
    <row r="10" spans="1:1" ht="12.75" x14ac:dyDescent="0.2"/>
    <row r="11" spans="1:1" ht="12.75" x14ac:dyDescent="0.2"/>
    <row r="12" spans="1:1" ht="12.75" x14ac:dyDescent="0.2"/>
    <row r="13" spans="1:1" ht="12.75" x14ac:dyDescent="0.2"/>
    <row r="14" spans="1:1" ht="12.75" x14ac:dyDescent="0.2"/>
    <row r="15" spans="1:1" ht="12.75" x14ac:dyDescent="0.2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EDC5-6D71-4E21-9BEA-51E129F82DA4}">
  <dimension ref="A1:B15"/>
  <sheetViews>
    <sheetView workbookViewId="0"/>
  </sheetViews>
  <sheetFormatPr baseColWidth="10" defaultColWidth="12.28515625" defaultRowHeight="15.75" x14ac:dyDescent="0.2"/>
  <cols>
    <col min="1" max="1" width="12.28515625" customWidth="1"/>
    <col min="2" max="16384" width="12.28515625"/>
  </cols>
  <sheetData>
    <row r="1" spans="1:2" ht="12.75" x14ac:dyDescent="0.2">
      <c r="A1" t="s">
        <v>122</v>
      </c>
      <c r="B1" t="s">
        <v>123</v>
      </c>
    </row>
    <row r="2" spans="1:2" ht="12.75" x14ac:dyDescent="0.2">
      <c r="A2">
        <v>1</v>
      </c>
      <c r="B2" t="s">
        <v>124</v>
      </c>
    </row>
    <row r="3" spans="1:2" ht="12.75" x14ac:dyDescent="0.2">
      <c r="A3">
        <v>2</v>
      </c>
      <c r="B3" t="s">
        <v>125</v>
      </c>
    </row>
    <row r="4" spans="1:2" ht="12.75" x14ac:dyDescent="0.2">
      <c r="A4">
        <v>3</v>
      </c>
      <c r="B4" t="s">
        <v>126</v>
      </c>
    </row>
    <row r="5" spans="1:2" ht="12.75" x14ac:dyDescent="0.2">
      <c r="A5">
        <v>4</v>
      </c>
      <c r="B5" t="s">
        <v>127</v>
      </c>
    </row>
    <row r="6" spans="1:2" ht="12.75" x14ac:dyDescent="0.2"/>
    <row r="7" spans="1:2" ht="12.75" x14ac:dyDescent="0.2"/>
    <row r="8" spans="1:2" ht="12.75" x14ac:dyDescent="0.2"/>
    <row r="9" spans="1:2" ht="12.75" x14ac:dyDescent="0.2"/>
    <row r="10" spans="1:2" ht="12.75" x14ac:dyDescent="0.2"/>
    <row r="11" spans="1:2" ht="12.75" x14ac:dyDescent="0.2"/>
    <row r="12" spans="1:2" ht="12.75" x14ac:dyDescent="0.2"/>
    <row r="13" spans="1:2" ht="12.75" x14ac:dyDescent="0.2"/>
    <row r="14" spans="1:2" ht="12.75" x14ac:dyDescent="0.2"/>
    <row r="15" spans="1:2" ht="12.75" x14ac:dyDescent="0.2"/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87D4-54DC-4284-A675-7C36FEA76936}">
  <dimension ref="A1:A5"/>
  <sheetViews>
    <sheetView workbookViewId="0">
      <selection sqref="A1:A5"/>
    </sheetView>
  </sheetViews>
  <sheetFormatPr baseColWidth="10" defaultRowHeight="12.75" x14ac:dyDescent="0.2"/>
  <sheetData>
    <row r="1" spans="1:1" x14ac:dyDescent="0.2">
      <c r="A1" t="s">
        <v>144</v>
      </c>
    </row>
    <row r="2" spans="1:1" x14ac:dyDescent="0.2">
      <c r="A2" t="s">
        <v>147</v>
      </c>
    </row>
    <row r="3" spans="1:1" x14ac:dyDescent="0.2">
      <c r="A3" t="s">
        <v>148</v>
      </c>
    </row>
    <row r="4" spans="1:1" x14ac:dyDescent="0.2">
      <c r="A4" t="s">
        <v>149</v>
      </c>
    </row>
    <row r="5" spans="1:1" x14ac:dyDescent="0.2">
      <c r="A5" t="s">
        <v>150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86F1-A928-4526-86B8-847C94BB9877}">
  <dimension ref="A1:A5"/>
  <sheetViews>
    <sheetView tabSelected="1" workbookViewId="0">
      <selection activeCell="K28" sqref="K28"/>
    </sheetView>
  </sheetViews>
  <sheetFormatPr baseColWidth="10" defaultRowHeight="12.75" x14ac:dyDescent="0.2"/>
  <sheetData>
    <row r="1" spans="1:1" x14ac:dyDescent="0.2">
      <c r="A1" t="s">
        <v>145</v>
      </c>
    </row>
    <row r="2" spans="1:1" x14ac:dyDescent="0.2">
      <c r="A2" s="2">
        <v>45323</v>
      </c>
    </row>
    <row r="3" spans="1:1" x14ac:dyDescent="0.2">
      <c r="A3" s="2">
        <v>45447</v>
      </c>
    </row>
    <row r="4" spans="1:1" x14ac:dyDescent="0.2">
      <c r="A4" s="3">
        <v>45449</v>
      </c>
    </row>
    <row r="5" spans="1:1" x14ac:dyDescent="0.2">
      <c r="A5" s="2">
        <v>45481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32</vt:i4>
      </vt:variant>
    </vt:vector>
  </HeadingPairs>
  <TitlesOfParts>
    <vt:vector size="32" baseType="lpstr">
      <vt:lpstr>Machine</vt:lpstr>
      <vt:lpstr>Appartient_a</vt:lpstr>
      <vt:lpstr>Modele</vt:lpstr>
      <vt:lpstr>Repas</vt:lpstr>
      <vt:lpstr>Titre</vt:lpstr>
      <vt:lpstr>Rang</vt:lpstr>
      <vt:lpstr>Dignité</vt:lpstr>
      <vt:lpstr>Certificat</vt:lpstr>
      <vt:lpstr>Compose_de</vt:lpstr>
      <vt:lpstr>Comporte</vt:lpstr>
      <vt:lpstr>Accompagne</vt:lpstr>
      <vt:lpstr>Contient</vt:lpstr>
      <vt:lpstr>Intolerance</vt:lpstr>
      <vt:lpstr>Repare</vt:lpstr>
      <vt:lpstr>Possede</vt:lpstr>
      <vt:lpstr>Conserve1</vt:lpstr>
      <vt:lpstr>Conserve2</vt:lpstr>
      <vt:lpstr>Utilise</vt:lpstr>
      <vt:lpstr>GradInf</vt:lpstr>
      <vt:lpstr>GradeSup</vt:lpstr>
      <vt:lpstr>Tenrac</vt:lpstr>
      <vt:lpstr>Ordre</vt:lpstr>
      <vt:lpstr>Réunion</vt:lpstr>
      <vt:lpstr>CarteDeMembre</vt:lpstr>
      <vt:lpstr>Organisme</vt:lpstr>
      <vt:lpstr>Club</vt:lpstr>
      <vt:lpstr>Plat</vt:lpstr>
      <vt:lpstr>Sauce</vt:lpstr>
      <vt:lpstr>Légume</vt:lpstr>
      <vt:lpstr>Ingredient</vt:lpstr>
      <vt:lpstr>Entretient</vt:lpstr>
      <vt:lpstr>DateDep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PIANELLI Lucie</dc:creator>
  <cp:lastModifiedBy>PIANELLI Lucie</cp:lastModifiedBy>
  <cp:revision>1</cp:revision>
  <dcterms:created xsi:type="dcterms:W3CDTF">2026-01-16T08:34:00Z</dcterms:created>
  <dcterms:modified xsi:type="dcterms:W3CDTF">2026-01-16T08:34:40Z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